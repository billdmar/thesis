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Historical IS" sheetId="3" state="visible" r:id="rId3"/>
    <sheet name="Historical BS" sheetId="4" state="visible" r:id="rId4"/>
    <sheet name="Historical CF" sheetId="5" state="visible" r:id="rId5"/>
    <sheet name="Model IS" sheetId="6" state="visible" r:id="rId6"/>
    <sheet name="Model BS" sheetId="7" state="visible" r:id="rId7"/>
    <sheet name="Model CF" sheetId="8" state="visible" r:id="rId8"/>
    <sheet name="WACC" sheetId="9" state="visible" r:id="rId9"/>
    <sheet name="DCF" sheetId="10" state="visible" r:id="rId10"/>
    <sheet name="Trading Comps" sheetId="11" state="visible" r:id="rId11"/>
    <sheet name="Precedents" sheetId="12" state="visible" r:id="rId12"/>
    <sheet name="LBO" sheetId="13" state="visible" r:id="rId13"/>
    <sheet name="Sensitivities" sheetId="14" state="visible" r:id="rId14"/>
    <sheet name="Football Field" sheetId="15" state="visible" r:id="rId15"/>
  </sheets>
  <definedNames>
    <definedName name="CurrentPrice">'Cover'!B4</definedName>
    <definedName name="PriceTarget">'Cover'!B5</definedName>
    <definedName name="Rating">'Cover'!B3</definedName>
    <definedName name="WACC">'WACC'!B7</definedName>
    <definedName name="TerminalGrowth">'Assumptions'!B14</definedName>
    <definedName name="ExitMultiple">'Assumptions'!B15</definedName>
    <definedName name="EV_Gordon">'DCF'!B14</definedName>
    <definedName name="EV_Exit">'DCF'!B15</definedName>
    <definedName name="EquityValue_Gordon">'DCF'!B19</definedName>
    <definedName name="EquityValue_Exit">'DCF'!B20</definedName>
    <definedName name="ImpliedPrice_Gordon">'DCF'!B21</definedName>
    <definedName name="ImpliedPrice_Exit">'DCF'!B22</definedName>
    <definedName name="NetDebt">'DCF'!B17</definedName>
    <definedName name="SharesDiluted">'DCF'!B18</definedName>
    <definedName name="Comps_ImpliedPrice_EBITDA">'Trading Comps'!B14</definedName>
    <definedName name="LBO_IRR">'LBO'!B18</definedName>
    <definedName name="LBO_MOIC">'LBO'!B19</definedName>
    <definedName name="RevenueCAGR">'Model IS'!B16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0.0x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color rgb="000000CC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2" fontId="4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2" fontId="5" fillId="0" borderId="0" pivotButton="0" quotePrefix="0" xfId="0"/>
    <xf numFmtId="0" fontId="2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Revenue ($)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'Model IS'!$C$3:$G$3</f>
            </numRef>
          </cat>
          <val>
            <numRef>
              <f>'Model IS'!$C$4:$G$4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Unlevered FCFF ($)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'DCF'!$B$3:$F$3</f>
            </numRef>
          </cat>
          <val>
            <numRef>
              <f>'DCF'!$B$4:$F$4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Trading Comps — EV/EBITDA vs EV/Revenue</a:t>
            </a:r>
          </a:p>
        </rich>
      </tx>
    </title>
    <plotArea>
      <scatterChart>
        <ser>
          <idx val="0"/>
          <order val="0"/>
          <tx>
            <v>Peers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'Trading Comps'!$C$4:$C$11</f>
            </numRef>
          </xVal>
          <yVal>
            <numRef>
              <f>'Trading Comps'!$D$4:$D$11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EV/Revenue (x)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EV/EBITDA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Football Field — Valuation Range ($/share)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'Football Field'!B3</f>
            </strRef>
          </tx>
          <spPr>
            <a:ln>
              <a:prstDash val="solid"/>
            </a:ln>
          </spPr>
          <cat>
            <numRef>
              <f>'Football Field'!$A$4:$A$5</f>
            </numRef>
          </cat>
          <val>
            <numRef>
              <f>'Football Field'!$B$4:$B$5</f>
            </numRef>
          </val>
        </ser>
        <ser>
          <idx val="1"/>
          <order val="1"/>
          <tx>
            <strRef>
              <f>'Football Field'!C3</f>
            </strRef>
          </tx>
          <spPr>
            <a:ln>
              <a:prstDash val="solid"/>
            </a:ln>
          </spPr>
          <cat>
            <numRef>
              <f>'Football Field'!$A$4:$A$5</f>
            </numRef>
          </cat>
          <val>
            <numRef>
              <f>'Football Field'!$C$4:$C$5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DECKERS OUTDOOR CORP (DECK) — Initiating Coverage</t>
        </is>
      </c>
    </row>
    <row r="3">
      <c r="A3" s="2" t="inlineStr">
        <is>
          <t>Rating</t>
        </is>
      </c>
      <c r="B3" t="inlineStr">
        <is>
          <t>Buy</t>
        </is>
      </c>
    </row>
    <row r="4">
      <c r="A4" s="2" t="inlineStr">
        <is>
          <t>Current price</t>
        </is>
      </c>
      <c r="B4" s="3" t="n">
        <v>99.68000000000001</v>
      </c>
    </row>
    <row r="5">
      <c r="A5" s="2" t="inlineStr">
        <is>
          <t>12-mo price target</t>
        </is>
      </c>
      <c r="B5" s="3" t="n">
        <v>128</v>
      </c>
    </row>
    <row r="6">
      <c r="A6" s="2" t="inlineStr">
        <is>
          <t>Implied upside</t>
        </is>
      </c>
      <c r="B6" s="4">
        <f>B5/B4-1</f>
        <v/>
      </c>
    </row>
    <row r="8">
      <c r="A8" s="5" t="inlineStr">
        <is>
          <t>Valuation triangulation</t>
        </is>
      </c>
    </row>
    <row r="9">
      <c r="A9" s="2" t="inlineStr">
        <is>
          <t>DCF (Gordon)</t>
        </is>
      </c>
      <c r="B9" s="6">
        <f>'DCF'!B21</f>
        <v/>
      </c>
    </row>
    <row r="10">
      <c r="A10" s="2" t="inlineStr">
        <is>
          <t>DCF (exit)</t>
        </is>
      </c>
      <c r="B10" s="6">
        <f>'DCF'!B22</f>
        <v/>
      </c>
    </row>
    <row r="11">
      <c r="A11" s="2" t="inlineStr">
        <is>
          <t>Comps (EV/EBITDA)</t>
        </is>
      </c>
      <c r="B11" s="6">
        <f>'Trading Comps'!B14</f>
        <v/>
      </c>
    </row>
    <row r="13">
      <c r="A13" s="2" t="inlineStr">
        <is>
          <t>Educational project — not investment advice. SEC EDGAR data used per fair-access policy; no SEC endorsement implied.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Assumptions (inputs — blue)</t>
        </is>
      </c>
    </row>
    <row r="3">
      <c r="A3" s="7" t="inlineStr">
        <is>
          <t>Projection year</t>
        </is>
      </c>
      <c r="B3" s="7" t="inlineStr">
        <is>
          <t>Y1</t>
        </is>
      </c>
      <c r="C3" s="7" t="inlineStr">
        <is>
          <t>Y2</t>
        </is>
      </c>
      <c r="D3" s="7" t="inlineStr">
        <is>
          <t>Y3</t>
        </is>
      </c>
      <c r="E3" s="7" t="inlineStr">
        <is>
          <t>Y4</t>
        </is>
      </c>
      <c r="F3" s="7" t="inlineStr">
        <is>
          <t>Y5</t>
        </is>
      </c>
    </row>
    <row r="4">
      <c r="A4" s="2" t="inlineStr">
        <is>
          <t>Revenue growth</t>
        </is>
      </c>
      <c r="B4" s="8" t="n">
        <v>0.09</v>
      </c>
      <c r="C4" s="8" t="n">
        <v>0.08</v>
      </c>
      <c r="D4" s="8" t="n">
        <v>0.07000000000000001</v>
      </c>
      <c r="E4" s="8" t="n">
        <v>0.06</v>
      </c>
      <c r="F4" s="8" t="n">
        <v>0.05</v>
      </c>
    </row>
    <row r="5">
      <c r="A5" s="2" t="inlineStr">
        <is>
          <t>Gross margin</t>
        </is>
      </c>
      <c r="B5" s="8" t="n">
        <v>0.575</v>
      </c>
      <c r="C5" s="8" t="n">
        <v>0.575</v>
      </c>
      <c r="D5" s="8" t="n">
        <v>0.57</v>
      </c>
      <c r="E5" s="8" t="n">
        <v>0.57</v>
      </c>
      <c r="F5" s="8" t="n">
        <v>0.5649999999999999</v>
      </c>
    </row>
    <row r="6">
      <c r="A6" s="2" t="inlineStr">
        <is>
          <t>SG&amp;A % revenue</t>
        </is>
      </c>
      <c r="B6" s="8" t="n">
        <v>0.345</v>
      </c>
      <c r="C6" s="8" t="n">
        <v>0.345</v>
      </c>
      <c r="D6" s="8" t="n">
        <v>0.345</v>
      </c>
      <c r="E6" s="8" t="n">
        <v>0.345</v>
      </c>
      <c r="F6" s="8" t="n">
        <v>0.345</v>
      </c>
    </row>
    <row r="7">
      <c r="A7" s="2" t="inlineStr">
        <is>
          <t>R&amp;D % revenue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</row>
    <row r="8">
      <c r="A8" s="2" t="inlineStr">
        <is>
          <t>Capex % revenue</t>
        </is>
      </c>
      <c r="B8" s="8" t="n">
        <v>0.016</v>
      </c>
      <c r="C8" s="8" t="n">
        <v>0.016</v>
      </c>
      <c r="D8" s="8" t="n">
        <v>0.016</v>
      </c>
      <c r="E8" s="8" t="n">
        <v>0.016</v>
      </c>
      <c r="F8" s="8" t="n">
        <v>0.016</v>
      </c>
    </row>
    <row r="9">
      <c r="A9" s="2" t="inlineStr">
        <is>
          <t>D&amp;A % revenue</t>
        </is>
      </c>
      <c r="B9" s="8" t="n">
        <v>0.018</v>
      </c>
      <c r="C9" s="8" t="n">
        <v>0.018</v>
      </c>
      <c r="D9" s="8" t="n">
        <v>0.018</v>
      </c>
      <c r="E9" s="8" t="n">
        <v>0.018</v>
      </c>
      <c r="F9" s="8" t="n">
        <v>0.018</v>
      </c>
    </row>
    <row r="10">
      <c r="A10" s="2" t="inlineStr">
        <is>
          <t>Tax rate</t>
        </is>
      </c>
      <c r="B10" s="8" t="n">
        <v>0.235</v>
      </c>
      <c r="C10" s="8" t="n">
        <v>0.235</v>
      </c>
      <c r="D10" s="8" t="n">
        <v>0.235</v>
      </c>
      <c r="E10" s="8" t="n">
        <v>0.235</v>
      </c>
      <c r="F10" s="8" t="n">
        <v>0.235</v>
      </c>
    </row>
    <row r="11">
      <c r="A11" s="2" t="inlineStr">
        <is>
          <t>Change in working capital</t>
        </is>
      </c>
      <c r="B11" s="9" t="n">
        <v>-683655680.9041095</v>
      </c>
      <c r="C11" s="9" t="n">
        <v>-88409814.47232884</v>
      </c>
      <c r="D11" s="9" t="n">
        <v>-89684811.46403533</v>
      </c>
      <c r="E11" s="9" t="n">
        <v>-76993038.41042846</v>
      </c>
      <c r="F11" s="9" t="n">
        <v>-74841595.70723784</v>
      </c>
    </row>
    <row r="13">
      <c r="A13" s="2" t="inlineStr">
        <is>
          <t>Min cash (revolver floor)</t>
        </is>
      </c>
      <c r="B13" s="9" t="n">
        <v>400000000</v>
      </c>
    </row>
    <row r="14">
      <c r="A14" s="2" t="inlineStr">
        <is>
          <t>Terminal growth (g)</t>
        </is>
      </c>
      <c r="B14" s="8" t="n">
        <v>0.03</v>
      </c>
    </row>
    <row r="15">
      <c r="A15" s="2" t="inlineStr">
        <is>
          <t>Exit EV/EBITDA</t>
        </is>
      </c>
      <c r="B15" s="10" t="n">
        <v>11</v>
      </c>
    </row>
    <row r="17">
      <c r="A17" s="5" t="inlineStr">
        <is>
          <t>WACC / CAPM inputs</t>
        </is>
      </c>
    </row>
    <row r="18">
      <c r="A18" s="2" t="inlineStr">
        <is>
          <t>Risk-free rate</t>
        </is>
      </c>
      <c r="B18" s="8" t="n">
        <v>0.043</v>
      </c>
    </row>
    <row r="19">
      <c r="A19" s="2" t="inlineStr">
        <is>
          <t>Beta</t>
        </is>
      </c>
      <c r="B19" s="3" t="n">
        <v>1.05</v>
      </c>
    </row>
    <row r="20">
      <c r="A20" s="2" t="inlineStr">
        <is>
          <t>Equity risk premium</t>
        </is>
      </c>
      <c r="B20" s="8" t="n">
        <v>0.05</v>
      </c>
    </row>
    <row r="21">
      <c r="A21" s="2" t="inlineStr">
        <is>
          <t>Pre-tax cost of debt</t>
        </is>
      </c>
      <c r="B21" s="8" t="n">
        <v>0.06</v>
      </c>
    </row>
    <row r="22">
      <c r="A22" s="2" t="inlineStr">
        <is>
          <t>WACC tax rate</t>
        </is>
      </c>
      <c r="B22" s="8" t="n">
        <v>0.235</v>
      </c>
    </row>
    <row r="23">
      <c r="A23" s="2" t="inlineStr">
        <is>
          <t>Market cap</t>
        </is>
      </c>
      <c r="B23" s="9" t="n">
        <v>13576416000</v>
      </c>
    </row>
    <row r="24">
      <c r="A24" s="2" t="inlineStr">
        <is>
          <t>Total debt</t>
        </is>
      </c>
      <c r="B24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Historical IS (reported — ties to XBRL)</t>
        </is>
      </c>
    </row>
    <row r="3">
      <c r="B3" s="7" t="inlineStr">
        <is>
          <t>FY2008</t>
        </is>
      </c>
      <c r="C3" s="7" t="inlineStr">
        <is>
          <t>FY2009</t>
        </is>
      </c>
      <c r="D3" s="7" t="inlineStr">
        <is>
          <t>FY2010</t>
        </is>
      </c>
      <c r="E3" s="7" t="inlineStr">
        <is>
          <t>FY2011</t>
        </is>
      </c>
      <c r="F3" s="7" t="inlineStr">
        <is>
          <t>FY2012</t>
        </is>
      </c>
      <c r="G3" s="7" t="inlineStr">
        <is>
          <t>FY2013</t>
        </is>
      </c>
      <c r="H3" s="7" t="inlineStr">
        <is>
          <t>FY2015</t>
        </is>
      </c>
      <c r="I3" s="7" t="inlineStr">
        <is>
          <t>FY2016</t>
        </is>
      </c>
      <c r="J3" s="7" t="inlineStr">
        <is>
          <t>FY2017</t>
        </is>
      </c>
      <c r="K3" s="7" t="inlineStr">
        <is>
          <t>FY2018</t>
        </is>
      </c>
      <c r="L3" s="7" t="inlineStr">
        <is>
          <t>FY2019</t>
        </is>
      </c>
      <c r="M3" s="7" t="inlineStr">
        <is>
          <t>FY2020</t>
        </is>
      </c>
      <c r="N3" s="7" t="inlineStr">
        <is>
          <t>FY2021</t>
        </is>
      </c>
      <c r="O3" s="7" t="inlineStr">
        <is>
          <t>FY2022</t>
        </is>
      </c>
      <c r="P3" s="7" t="inlineStr">
        <is>
          <t>FY2023</t>
        </is>
      </c>
      <c r="Q3" s="7" t="inlineStr">
        <is>
          <t>FY2024</t>
        </is>
      </c>
      <c r="R3" s="7" t="inlineStr">
        <is>
          <t>FY2025</t>
        </is>
      </c>
      <c r="S3" s="7" t="inlineStr">
        <is>
          <t>FY2026</t>
        </is>
      </c>
    </row>
    <row r="4">
      <c r="A4" s="2" t="inlineStr">
        <is>
          <t>revenue</t>
        </is>
      </c>
      <c r="B4" s="11" t="n">
        <v>689445000</v>
      </c>
      <c r="C4" s="11" t="n">
        <v>813177000</v>
      </c>
      <c r="D4" s="11" t="n">
        <v>1000989000</v>
      </c>
      <c r="E4" s="11" t="n">
        <v>1377283000</v>
      </c>
      <c r="F4" s="11" t="n">
        <v>1414398000</v>
      </c>
      <c r="G4" s="11" t="n">
        <v>1556618000</v>
      </c>
      <c r="H4" s="11" t="n">
        <v>1817057000</v>
      </c>
      <c r="I4" s="11" t="n">
        <v>1875197000</v>
      </c>
      <c r="J4" s="11" t="n">
        <v>1790147000</v>
      </c>
      <c r="K4" s="11" t="n">
        <v>1903339000</v>
      </c>
      <c r="L4" s="11" t="n">
        <v>2020437000</v>
      </c>
      <c r="M4" s="11" t="n">
        <v>2132689000</v>
      </c>
      <c r="N4" s="11" t="n">
        <v>2545641000</v>
      </c>
      <c r="O4" s="11" t="n">
        <v>3150339000</v>
      </c>
      <c r="P4" s="11" t="n">
        <v>3627286000</v>
      </c>
      <c r="Q4" s="11" t="n">
        <v>4287763000</v>
      </c>
      <c r="R4" s="11" t="n">
        <v>4985612000</v>
      </c>
      <c r="S4" s="11" t="n">
        <v>5472296000</v>
      </c>
    </row>
    <row r="5">
      <c r="A5" s="2" t="inlineStr">
        <is>
          <t>cost_of_revenue</t>
        </is>
      </c>
      <c r="B5" s="11" t="n">
        <v>384127000</v>
      </c>
      <c r="C5" s="11" t="n">
        <v>442087000</v>
      </c>
      <c r="D5" s="11" t="n">
        <v>498051000</v>
      </c>
      <c r="E5" s="11" t="n">
        <v>698288000</v>
      </c>
      <c r="F5" s="11" t="n">
        <v>782244000</v>
      </c>
      <c r="G5" s="11" t="n">
        <v>820135000</v>
      </c>
      <c r="H5" s="11" t="n">
        <v>938949000</v>
      </c>
      <c r="I5" s="11" t="n">
        <v>1028529000</v>
      </c>
      <c r="J5" s="11" t="n">
        <v>954912000</v>
      </c>
      <c r="K5" s="11" t="n">
        <v>971697000</v>
      </c>
      <c r="L5" s="11" t="n">
        <v>980187000</v>
      </c>
      <c r="M5" s="11" t="n">
        <v>1029016000</v>
      </c>
      <c r="N5" s="11" t="n">
        <v>1171551000</v>
      </c>
      <c r="O5" s="11" t="n">
        <v>1542788000</v>
      </c>
      <c r="P5" s="11" t="n">
        <v>1801916000</v>
      </c>
      <c r="Q5" s="11" t="n">
        <v>1902275000</v>
      </c>
      <c r="R5" s="11" t="n">
        <v>2099949000</v>
      </c>
      <c r="S5" s="11" t="n">
        <v>2314570000</v>
      </c>
    </row>
    <row r="6">
      <c r="A6" s="2" t="inlineStr">
        <is>
          <t>gross_profit</t>
        </is>
      </c>
      <c r="B6" s="11" t="n">
        <v>305318000</v>
      </c>
      <c r="C6" s="11" t="n">
        <v>371090000</v>
      </c>
      <c r="D6" s="11" t="n">
        <v>502938000</v>
      </c>
      <c r="E6" s="11" t="n">
        <v>678995000</v>
      </c>
      <c r="F6" s="11" t="n">
        <v>632154000</v>
      </c>
      <c r="G6" s="11" t="n">
        <v>736483000</v>
      </c>
      <c r="H6" s="11" t="n">
        <v>878108000</v>
      </c>
      <c r="I6" s="11" t="n">
        <v>846668000</v>
      </c>
      <c r="J6" s="11" t="n">
        <v>835235000</v>
      </c>
      <c r="K6" s="11" t="n">
        <v>931642000</v>
      </c>
      <c r="L6" s="11" t="n">
        <v>1040250000</v>
      </c>
      <c r="M6" s="11" t="n">
        <v>1103673000</v>
      </c>
      <c r="N6" s="11" t="n">
        <v>1374090000</v>
      </c>
      <c r="O6" s="11" t="n">
        <v>1607551000</v>
      </c>
      <c r="P6" s="11" t="n">
        <v>1825370000</v>
      </c>
      <c r="Q6" s="11" t="n">
        <v>2385488000</v>
      </c>
      <c r="R6" s="11" t="n">
        <v>2885663000</v>
      </c>
      <c r="S6" s="11" t="n">
        <v>3157726000</v>
      </c>
    </row>
    <row r="7">
      <c r="A7" s="2" t="inlineStr">
        <is>
          <t>operating_income</t>
        </is>
      </c>
      <c r="B7" s="11" t="n">
        <v>116919000</v>
      </c>
      <c r="C7" s="11" t="n">
        <v>181247000</v>
      </c>
      <c r="D7" s="11" t="n">
        <v>249088000</v>
      </c>
      <c r="E7" s="11" t="n">
        <v>284838000</v>
      </c>
      <c r="F7" s="11" t="n">
        <v>186948000</v>
      </c>
      <c r="G7" s="11" t="n">
        <v>207897000</v>
      </c>
      <c r="H7" s="11" t="n">
        <v>224419000</v>
      </c>
      <c r="I7" s="11" t="n">
        <v>162127000</v>
      </c>
      <c r="J7" s="11" t="n">
        <v>-1919000</v>
      </c>
      <c r="K7" s="11" t="n">
        <v>222584000</v>
      </c>
      <c r="L7" s="11" t="n">
        <v>327320000</v>
      </c>
      <c r="M7" s="11" t="n">
        <v>338135000</v>
      </c>
      <c r="N7" s="11" t="n">
        <v>504205000</v>
      </c>
      <c r="O7" s="11" t="n">
        <v>564707000</v>
      </c>
      <c r="P7" s="11" t="n">
        <v>652751000</v>
      </c>
      <c r="Q7" s="11" t="n">
        <v>927514000</v>
      </c>
      <c r="R7" s="11" t="n">
        <v>1179092000</v>
      </c>
      <c r="S7" s="11" t="n">
        <v>1262903000</v>
      </c>
    </row>
    <row r="8">
      <c r="A8" s="2" t="inlineStr">
        <is>
          <t>net_income</t>
        </is>
      </c>
      <c r="B8" s="11" t="n">
        <v>73948000</v>
      </c>
      <c r="C8" s="11" t="n">
        <v>116786000</v>
      </c>
      <c r="D8" s="11" t="n">
        <v>158235000</v>
      </c>
      <c r="E8" s="11" t="n">
        <v>201858000</v>
      </c>
      <c r="F8" s="11" t="n">
        <v>129014000</v>
      </c>
      <c r="G8" s="11" t="n">
        <v>145689000</v>
      </c>
      <c r="H8" s="11" t="n">
        <v>161780000</v>
      </c>
      <c r="I8" s="11" t="n">
        <v>122265000</v>
      </c>
      <c r="J8" s="11" t="n">
        <v>5710000</v>
      </c>
      <c r="K8" s="11" t="n">
        <v>114394000</v>
      </c>
      <c r="L8" s="11" t="n">
        <v>264308000</v>
      </c>
      <c r="M8" s="11" t="n">
        <v>276142000</v>
      </c>
      <c r="N8" s="11" t="n">
        <v>382575000</v>
      </c>
      <c r="O8" s="11" t="n">
        <v>451949000</v>
      </c>
      <c r="P8" s="11" t="n">
        <v>516822000</v>
      </c>
      <c r="Q8" s="11" t="n">
        <v>759563000</v>
      </c>
      <c r="R8" s="11" t="n">
        <v>966091000</v>
      </c>
      <c r="S8" s="11" t="n">
        <v>1024071000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Historical BS (reported — ties to XBRL)</t>
        </is>
      </c>
    </row>
    <row r="3">
      <c r="B3" s="7" t="inlineStr">
        <is>
          <t>FY2008</t>
        </is>
      </c>
      <c r="C3" s="7" t="inlineStr">
        <is>
          <t>FY2009</t>
        </is>
      </c>
      <c r="D3" s="7" t="inlineStr">
        <is>
          <t>FY2010</t>
        </is>
      </c>
      <c r="E3" s="7" t="inlineStr">
        <is>
          <t>FY2011</t>
        </is>
      </c>
      <c r="F3" s="7" t="inlineStr">
        <is>
          <t>FY2012</t>
        </is>
      </c>
      <c r="G3" s="7" t="inlineStr">
        <is>
          <t>FY2013</t>
        </is>
      </c>
      <c r="H3" s="7" t="inlineStr">
        <is>
          <t>FY2015</t>
        </is>
      </c>
      <c r="I3" s="7" t="inlineStr">
        <is>
          <t>FY2016</t>
        </is>
      </c>
      <c r="J3" s="7" t="inlineStr">
        <is>
          <t>FY2017</t>
        </is>
      </c>
      <c r="K3" s="7" t="inlineStr">
        <is>
          <t>FY2018</t>
        </is>
      </c>
      <c r="L3" s="7" t="inlineStr">
        <is>
          <t>FY2019</t>
        </is>
      </c>
      <c r="M3" s="7" t="inlineStr">
        <is>
          <t>FY2020</t>
        </is>
      </c>
      <c r="N3" s="7" t="inlineStr">
        <is>
          <t>FY2021</t>
        </is>
      </c>
      <c r="O3" s="7" t="inlineStr">
        <is>
          <t>FY2022</t>
        </is>
      </c>
      <c r="P3" s="7" t="inlineStr">
        <is>
          <t>FY2023</t>
        </is>
      </c>
      <c r="Q3" s="7" t="inlineStr">
        <is>
          <t>FY2024</t>
        </is>
      </c>
      <c r="R3" s="7" t="inlineStr">
        <is>
          <t>FY2025</t>
        </is>
      </c>
      <c r="S3" s="7" t="inlineStr">
        <is>
          <t>FY2026</t>
        </is>
      </c>
    </row>
    <row r="4">
      <c r="A4" s="2" t="inlineStr">
        <is>
          <t>cash_and_equivalents</t>
        </is>
      </c>
      <c r="B4" s="11" t="n">
        <v>176804000</v>
      </c>
      <c r="C4" s="11" t="n">
        <v>315862000</v>
      </c>
      <c r="D4" s="11" t="n">
        <v>445226000</v>
      </c>
      <c r="E4" s="11" t="n">
        <v>263606000</v>
      </c>
      <c r="F4" s="11" t="n">
        <v>110247000</v>
      </c>
      <c r="G4" s="11" t="n">
        <v>237125000</v>
      </c>
      <c r="H4" s="11" t="n">
        <v>225143000</v>
      </c>
      <c r="I4" s="11" t="n">
        <v>245956000</v>
      </c>
      <c r="J4" s="11" t="n">
        <v>291764000</v>
      </c>
      <c r="K4" s="11" t="n">
        <v>429970000</v>
      </c>
      <c r="L4" s="11" t="n">
        <v>589692000</v>
      </c>
      <c r="M4" s="11" t="n">
        <v>649436000</v>
      </c>
      <c r="N4" s="11" t="n">
        <v>1089361000</v>
      </c>
      <c r="O4" s="11" t="n">
        <v>843527000</v>
      </c>
      <c r="P4" s="11" t="n">
        <v>981795000</v>
      </c>
      <c r="Q4" s="11" t="n">
        <v>1502051000</v>
      </c>
      <c r="R4" s="11" t="n">
        <v>1889188000</v>
      </c>
      <c r="S4" s="11" t="n">
        <v>1907249000</v>
      </c>
    </row>
    <row r="5">
      <c r="A5" s="2" t="inlineStr">
        <is>
          <t>total_assets</t>
        </is>
      </c>
      <c r="C5" s="11" t="n">
        <v>599043000</v>
      </c>
      <c r="D5" s="11" t="n">
        <v>808994000</v>
      </c>
      <c r="E5" s="11" t="n">
        <v>1146196000</v>
      </c>
      <c r="F5" s="11" t="n">
        <v>1068064000</v>
      </c>
      <c r="G5" s="11" t="n">
        <v>1259729000</v>
      </c>
      <c r="H5" s="11" t="n">
        <v>1169933000</v>
      </c>
      <c r="I5" s="11" t="n">
        <v>1278068000</v>
      </c>
      <c r="J5" s="11" t="n">
        <v>1191780000</v>
      </c>
      <c r="K5" s="11" t="n">
        <v>1264379000</v>
      </c>
      <c r="L5" s="11" t="n">
        <v>1427206000</v>
      </c>
      <c r="M5" s="11" t="n">
        <v>1765118000</v>
      </c>
      <c r="N5" s="11" t="n">
        <v>2167705000</v>
      </c>
      <c r="O5" s="11" t="n">
        <v>2332250000</v>
      </c>
      <c r="P5" s="11" t="n">
        <v>2556203000</v>
      </c>
      <c r="Q5" s="11" t="n">
        <v>3135579000</v>
      </c>
      <c r="R5" s="11" t="n">
        <v>3570252000</v>
      </c>
      <c r="S5" s="11" t="n">
        <v>3687765000</v>
      </c>
    </row>
    <row r="6">
      <c r="A6" s="2" t="inlineStr">
        <is>
          <t>total_stockholders_equity</t>
        </is>
      </c>
      <c r="B6" s="11" t="n">
        <v>384665000</v>
      </c>
      <c r="C6" s="11" t="n">
        <v>491358000</v>
      </c>
      <c r="D6" s="11" t="n">
        <v>652987000</v>
      </c>
      <c r="E6" s="11" t="n">
        <v>835936000</v>
      </c>
      <c r="F6" s="11" t="n">
        <v>738801000</v>
      </c>
      <c r="G6" s="11" t="n">
        <v>888119000</v>
      </c>
      <c r="H6" s="11" t="n">
        <v>937012000</v>
      </c>
      <c r="I6" s="11" t="n">
        <v>967471000</v>
      </c>
      <c r="J6" s="11" t="n">
        <v>954255000</v>
      </c>
      <c r="K6" s="11" t="n">
        <v>940779000</v>
      </c>
      <c r="L6" s="11" t="n">
        <v>1045130000</v>
      </c>
      <c r="M6" s="11" t="n">
        <v>1140120000</v>
      </c>
      <c r="N6" s="11" t="n">
        <v>1444225000</v>
      </c>
      <c r="O6" s="11" t="n">
        <v>1538825000</v>
      </c>
      <c r="P6" s="11" t="n">
        <v>1765733000</v>
      </c>
      <c r="Q6" s="11" t="n">
        <v>2107468000</v>
      </c>
      <c r="R6" s="11" t="n">
        <v>2513013000</v>
      </c>
      <c r="S6" s="11" t="n">
        <v>2499638000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Historical CF (reported — ties to XBRL)</t>
        </is>
      </c>
    </row>
    <row r="3">
      <c r="B3" s="7" t="inlineStr">
        <is>
          <t>FY2008</t>
        </is>
      </c>
      <c r="C3" s="7" t="inlineStr">
        <is>
          <t>FY2009</t>
        </is>
      </c>
      <c r="D3" s="7" t="inlineStr">
        <is>
          <t>FY2010</t>
        </is>
      </c>
      <c r="E3" s="7" t="inlineStr">
        <is>
          <t>FY2011</t>
        </is>
      </c>
      <c r="F3" s="7" t="inlineStr">
        <is>
          <t>FY2012</t>
        </is>
      </c>
      <c r="G3" s="7" t="inlineStr">
        <is>
          <t>FY2013</t>
        </is>
      </c>
      <c r="H3" s="7" t="inlineStr">
        <is>
          <t>FY2015</t>
        </is>
      </c>
      <c r="I3" s="7" t="inlineStr">
        <is>
          <t>FY2016</t>
        </is>
      </c>
      <c r="J3" s="7" t="inlineStr">
        <is>
          <t>FY2017</t>
        </is>
      </c>
      <c r="K3" s="7" t="inlineStr">
        <is>
          <t>FY2018</t>
        </is>
      </c>
      <c r="L3" s="7" t="inlineStr">
        <is>
          <t>FY2019</t>
        </is>
      </c>
      <c r="M3" s="7" t="inlineStr">
        <is>
          <t>FY2020</t>
        </is>
      </c>
      <c r="N3" s="7" t="inlineStr">
        <is>
          <t>FY2021</t>
        </is>
      </c>
      <c r="O3" s="7" t="inlineStr">
        <is>
          <t>FY2022</t>
        </is>
      </c>
      <c r="P3" s="7" t="inlineStr">
        <is>
          <t>FY2023</t>
        </is>
      </c>
      <c r="Q3" s="7" t="inlineStr">
        <is>
          <t>FY2024</t>
        </is>
      </c>
      <c r="R3" s="7" t="inlineStr">
        <is>
          <t>FY2025</t>
        </is>
      </c>
      <c r="S3" s="7" t="inlineStr">
        <is>
          <t>FY2026</t>
        </is>
      </c>
    </row>
    <row r="4">
      <c r="A4" s="2" t="inlineStr">
        <is>
          <t>cash_from_operations</t>
        </is>
      </c>
      <c r="B4" s="11" t="n">
        <v>53276000</v>
      </c>
      <c r="C4" s="11" t="n">
        <v>185474000</v>
      </c>
      <c r="D4" s="11" t="n">
        <v>139922000</v>
      </c>
      <c r="E4" s="11" t="n">
        <v>30091000</v>
      </c>
      <c r="F4" s="11" t="n">
        <v>163906000</v>
      </c>
      <c r="G4" s="11" t="n">
        <v>262125000</v>
      </c>
      <c r="H4" s="11" t="n">
        <v>169654000</v>
      </c>
      <c r="I4" s="11" t="n">
        <v>125813000</v>
      </c>
      <c r="J4" s="11" t="n">
        <v>199330000</v>
      </c>
      <c r="K4" s="11" t="n">
        <v>327355000</v>
      </c>
      <c r="L4" s="11" t="n">
        <v>359505000</v>
      </c>
      <c r="M4" s="11" t="n">
        <v>286334000</v>
      </c>
      <c r="N4" s="11" t="n">
        <v>596217000</v>
      </c>
      <c r="O4" s="11" t="n">
        <v>172353000</v>
      </c>
      <c r="P4" s="11" t="n">
        <v>537422000</v>
      </c>
      <c r="Q4" s="11" t="n">
        <v>1033184000</v>
      </c>
      <c r="R4" s="11" t="n">
        <v>1044523000</v>
      </c>
      <c r="S4" s="11" t="n">
        <v>1181955000</v>
      </c>
    </row>
    <row r="5">
      <c r="A5" s="2" t="inlineStr">
        <is>
          <t>capital_expenditures</t>
        </is>
      </c>
      <c r="B5" s="11" t="n">
        <v>22218000</v>
      </c>
      <c r="C5" s="11" t="n">
        <v>13699000</v>
      </c>
      <c r="D5" s="11" t="n">
        <v>22489000</v>
      </c>
      <c r="E5" s="11" t="n">
        <v>55538000</v>
      </c>
      <c r="F5" s="11" t="n">
        <v>61575000</v>
      </c>
      <c r="G5" s="11" t="n">
        <v>79829000</v>
      </c>
      <c r="H5" s="11" t="n">
        <v>91147000</v>
      </c>
      <c r="I5" s="11" t="n">
        <v>66186000</v>
      </c>
      <c r="J5" s="11" t="n">
        <v>44499000</v>
      </c>
      <c r="K5" s="11" t="n">
        <v>34813000</v>
      </c>
      <c r="L5" s="11" t="n">
        <v>29086000</v>
      </c>
      <c r="M5" s="11" t="n">
        <v>32455000</v>
      </c>
      <c r="N5" s="11" t="n">
        <v>32218000</v>
      </c>
      <c r="O5" s="11" t="n">
        <v>51017000</v>
      </c>
      <c r="P5" s="11" t="n">
        <v>81025000</v>
      </c>
      <c r="Q5" s="11" t="n">
        <v>89365000</v>
      </c>
      <c r="R5" s="11" t="n">
        <v>86171000</v>
      </c>
      <c r="S5" s="11" t="n">
        <v>84623000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Model Income Statement (projection)</t>
        </is>
      </c>
    </row>
    <row r="3">
      <c r="A3" s="7" t="inlineStr">
        <is>
          <t>Line ($)</t>
        </is>
      </c>
      <c r="B3" s="12" t="inlineStr">
        <is>
          <t>Base</t>
        </is>
      </c>
      <c r="C3" s="7" t="inlineStr">
        <is>
          <t>Y1</t>
        </is>
      </c>
      <c r="D3" s="7" t="inlineStr">
        <is>
          <t>Y2</t>
        </is>
      </c>
      <c r="E3" s="7" t="inlineStr">
        <is>
          <t>Y3</t>
        </is>
      </c>
      <c r="F3" s="7" t="inlineStr">
        <is>
          <t>Y4</t>
        </is>
      </c>
      <c r="G3" s="7" t="inlineStr">
        <is>
          <t>Y5</t>
        </is>
      </c>
    </row>
    <row r="4">
      <c r="A4" s="2" t="inlineStr">
        <is>
          <t>Revenue</t>
        </is>
      </c>
      <c r="B4" s="11" t="n">
        <v>5472296000</v>
      </c>
      <c r="C4" s="11">
        <f>B4*(1+'Assumptions'!B4)</f>
        <v/>
      </c>
      <c r="D4" s="11">
        <f>C4*(1+'Assumptions'!C4)</f>
        <v/>
      </c>
      <c r="E4" s="11">
        <f>D4*(1+'Assumptions'!D4)</f>
        <v/>
      </c>
      <c r="F4" s="11">
        <f>E4*(1+'Assumptions'!E4)</f>
        <v/>
      </c>
      <c r="G4" s="11">
        <f>F4*(1+'Assumptions'!F4)</f>
        <v/>
      </c>
    </row>
    <row r="5">
      <c r="A5" s="2" t="inlineStr">
        <is>
          <t>Gross profit</t>
        </is>
      </c>
      <c r="C5" s="11">
        <f>C4*'Assumptions'!B5</f>
        <v/>
      </c>
      <c r="D5" s="11">
        <f>D4*'Assumptions'!C5</f>
        <v/>
      </c>
      <c r="E5" s="11">
        <f>E4*'Assumptions'!D5</f>
        <v/>
      </c>
      <c r="F5" s="11">
        <f>F4*'Assumptions'!E5</f>
        <v/>
      </c>
      <c r="G5" s="11">
        <f>G4*'Assumptions'!F5</f>
        <v/>
      </c>
    </row>
    <row r="6">
      <c r="A6" s="2" t="inlineStr">
        <is>
          <t>SG&amp;A</t>
        </is>
      </c>
      <c r="C6" s="11">
        <f>C4*'Assumptions'!B6</f>
        <v/>
      </c>
      <c r="D6" s="11">
        <f>D4*'Assumptions'!C6</f>
        <v/>
      </c>
      <c r="E6" s="11">
        <f>E4*'Assumptions'!D6</f>
        <v/>
      </c>
      <c r="F6" s="11">
        <f>F4*'Assumptions'!E6</f>
        <v/>
      </c>
      <c r="G6" s="11">
        <f>G4*'Assumptions'!F6</f>
        <v/>
      </c>
    </row>
    <row r="7">
      <c r="A7" s="2" t="inlineStr">
        <is>
          <t>R&amp;D</t>
        </is>
      </c>
      <c r="C7" s="11">
        <f>C4*'Assumptions'!B7</f>
        <v/>
      </c>
      <c r="D7" s="11">
        <f>D4*'Assumptions'!C7</f>
        <v/>
      </c>
      <c r="E7" s="11">
        <f>E4*'Assumptions'!D7</f>
        <v/>
      </c>
      <c r="F7" s="11">
        <f>F4*'Assumptions'!E7</f>
        <v/>
      </c>
      <c r="G7" s="11">
        <f>G4*'Assumptions'!F7</f>
        <v/>
      </c>
    </row>
    <row r="8">
      <c r="A8" s="7" t="inlineStr">
        <is>
          <t>EBIT</t>
        </is>
      </c>
      <c r="C8" s="11">
        <f>C5-C6-C7</f>
        <v/>
      </c>
      <c r="D8" s="11">
        <f>D5-D6-D7</f>
        <v/>
      </c>
      <c r="E8" s="11">
        <f>E5-E6-E7</f>
        <v/>
      </c>
      <c r="F8" s="11">
        <f>F5-F6-F7</f>
        <v/>
      </c>
      <c r="G8" s="11">
        <f>G5-G6-G7</f>
        <v/>
      </c>
    </row>
    <row r="9">
      <c r="A9" s="2" t="inlineStr">
        <is>
          <t>D&amp;A</t>
        </is>
      </c>
      <c r="C9" s="11">
        <f>C4*'Assumptions'!B9</f>
        <v/>
      </c>
      <c r="D9" s="11">
        <f>D4*'Assumptions'!C9</f>
        <v/>
      </c>
      <c r="E9" s="11">
        <f>E4*'Assumptions'!D9</f>
        <v/>
      </c>
      <c r="F9" s="11">
        <f>F4*'Assumptions'!E9</f>
        <v/>
      </c>
      <c r="G9" s="11">
        <f>G4*'Assumptions'!F9</f>
        <v/>
      </c>
    </row>
    <row r="10">
      <c r="A10" s="7" t="inlineStr">
        <is>
          <t>EBITDA</t>
        </is>
      </c>
      <c r="C10" s="11">
        <f>C8+C9</f>
        <v/>
      </c>
      <c r="D10" s="11">
        <f>D8+D9</f>
        <v/>
      </c>
      <c r="E10" s="11">
        <f>E8+E9</f>
        <v/>
      </c>
      <c r="F10" s="11">
        <f>F8+F9</f>
        <v/>
      </c>
      <c r="G10" s="11">
        <f>G8+G9</f>
        <v/>
      </c>
    </row>
    <row r="11">
      <c r="A11" s="2" t="inlineStr">
        <is>
          <t>Net interest income</t>
        </is>
      </c>
      <c r="C11" s="11" t="n">
        <v>85148348.71298651</v>
      </c>
      <c r="D11" s="11" t="n">
        <v>116954983.5888567</v>
      </c>
      <c r="E11" s="11" t="n">
        <v>164633033.4887936</v>
      </c>
      <c r="F11" s="11" t="n">
        <v>216581565.8422166</v>
      </c>
      <c r="G11" s="11" t="n">
        <v>272604553.4793139</v>
      </c>
    </row>
    <row r="12">
      <c r="A12" s="7" t="inlineStr">
        <is>
          <t>Pre-tax income</t>
        </is>
      </c>
      <c r="C12" s="11">
        <f>C8+C11</f>
        <v/>
      </c>
      <c r="D12" s="11">
        <f>D8+D11</f>
        <v/>
      </c>
      <c r="E12" s="11">
        <f>E8+E11</f>
        <v/>
      </c>
      <c r="F12" s="11">
        <f>F8+F11</f>
        <v/>
      </c>
      <c r="G12" s="11">
        <f>G8+G11</f>
        <v/>
      </c>
    </row>
    <row r="13">
      <c r="A13" s="2" t="inlineStr">
        <is>
          <t>Taxes</t>
        </is>
      </c>
      <c r="C13" s="11">
        <f>C12*'Assumptions'!B10</f>
        <v/>
      </c>
      <c r="D13" s="11">
        <f>D12*'Assumptions'!C10</f>
        <v/>
      </c>
      <c r="E13" s="11">
        <f>E12*'Assumptions'!D10</f>
        <v/>
      </c>
      <c r="F13" s="11">
        <f>F12*'Assumptions'!E10</f>
        <v/>
      </c>
      <c r="G13" s="11">
        <f>G12*'Assumptions'!F10</f>
        <v/>
      </c>
    </row>
    <row r="14">
      <c r="A14" s="7" t="inlineStr">
        <is>
          <t>Net income</t>
        </is>
      </c>
      <c r="C14" s="11">
        <f>C12-C13</f>
        <v/>
      </c>
      <c r="D14" s="11">
        <f>D12-D13</f>
        <v/>
      </c>
      <c r="E14" s="11">
        <f>E12-E13</f>
        <v/>
      </c>
      <c r="F14" s="11">
        <f>F12-F13</f>
        <v/>
      </c>
      <c r="G14" s="11">
        <f>G12-G13</f>
        <v/>
      </c>
    </row>
    <row r="16">
      <c r="A16" s="2" t="inlineStr">
        <is>
          <t>Revenue CAGR (proj)</t>
        </is>
      </c>
      <c r="B16" s="4">
        <f>(G4/B4)^(1/5)-1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Model Balance Sheet</t>
        </is>
      </c>
    </row>
    <row r="3">
      <c r="A3" s="7" t="inlineStr">
        <is>
          <t>Line ($)</t>
        </is>
      </c>
      <c r="B3" s="7" t="inlineStr">
        <is>
          <t>FY2027E</t>
        </is>
      </c>
      <c r="C3" s="7" t="inlineStr">
        <is>
          <t>FY2028E</t>
        </is>
      </c>
      <c r="D3" s="7" t="inlineStr">
        <is>
          <t>FY2029E</t>
        </is>
      </c>
      <c r="E3" s="7" t="inlineStr">
        <is>
          <t>FY2030E</t>
        </is>
      </c>
      <c r="F3" s="7" t="inlineStr">
        <is>
          <t>FY2031E</t>
        </is>
      </c>
    </row>
    <row r="4">
      <c r="A4" s="2" t="inlineStr">
        <is>
          <t>Cash &amp; equivalents</t>
        </is>
      </c>
      <c r="B4" s="11" t="n">
        <v>2350168435.649325</v>
      </c>
      <c r="C4" s="11" t="n">
        <v>3497580743.793512</v>
      </c>
      <c r="D4" s="11" t="n">
        <v>4734070930.646168</v>
      </c>
      <c r="E4" s="11" t="n">
        <v>6095007361.464665</v>
      </c>
      <c r="F4" s="11" t="n">
        <v>7535220312.501031</v>
      </c>
    </row>
    <row r="5">
      <c r="A5" s="2" t="inlineStr">
        <is>
          <t>Accounts receivable</t>
        </is>
      </c>
      <c r="B5" s="11" t="n">
        <v>653677001.6438355</v>
      </c>
      <c r="C5" s="11" t="n">
        <v>705971161.7753425</v>
      </c>
      <c r="D5" s="11" t="n">
        <v>755389143.0996165</v>
      </c>
      <c r="E5" s="11" t="n">
        <v>800712491.6855936</v>
      </c>
      <c r="F5" s="11" t="n">
        <v>840748116.2698733</v>
      </c>
    </row>
    <row r="6">
      <c r="A6" s="2" t="inlineStr">
        <is>
          <t>Inventory</t>
        </is>
      </c>
      <c r="B6" s="11" t="n">
        <v>763984995.6712329</v>
      </c>
      <c r="C6" s="11" t="n">
        <v>825103795.3249316</v>
      </c>
      <c r="D6" s="11" t="n">
        <v>893247661.7152967</v>
      </c>
      <c r="E6" s="11" t="n">
        <v>946842521.4182144</v>
      </c>
      <c r="F6" s="11" t="n">
        <v>1005744934.087836</v>
      </c>
    </row>
    <row r="7">
      <c r="A7" s="7" t="inlineStr">
        <is>
          <t>Total current assets</t>
        </is>
      </c>
      <c r="B7" s="11" t="n">
        <v>3849944432.964394</v>
      </c>
      <c r="C7" s="11" t="n">
        <v>5110769700.893785</v>
      </c>
      <c r="D7" s="11" t="n">
        <v>6464821735.461082</v>
      </c>
      <c r="E7" s="11" t="n">
        <v>7924676374.568474</v>
      </c>
      <c r="F7" s="11" t="n">
        <v>9463827362.85874</v>
      </c>
    </row>
    <row r="8">
      <c r="A8" s="2" t="inlineStr">
        <is>
          <t>Property, plant &amp; equipment, net</t>
        </is>
      </c>
      <c r="B8" s="11" t="n">
        <v>325852394.72</v>
      </c>
      <c r="C8" s="11" t="n">
        <v>312968421.0176</v>
      </c>
      <c r="D8" s="11" t="n">
        <v>299182569.156032</v>
      </c>
      <c r="E8" s="11" t="n">
        <v>284569566.1827699</v>
      </c>
      <c r="F8" s="11" t="n">
        <v>269225913.0608447</v>
      </c>
    </row>
    <row r="9">
      <c r="A9" s="2" t="inlineStr">
        <is>
          <t>Goodwill &amp; intangibles</t>
        </is>
      </c>
      <c r="B9" s="11" t="n">
        <v>13990000</v>
      </c>
      <c r="C9" s="11" t="n">
        <v>13990000</v>
      </c>
      <c r="D9" s="11" t="n">
        <v>13990000</v>
      </c>
      <c r="E9" s="11" t="n">
        <v>13990000</v>
      </c>
      <c r="F9" s="11" t="n">
        <v>13990000</v>
      </c>
    </row>
    <row r="10">
      <c r="A10" s="7" t="inlineStr">
        <is>
          <t>Total assets</t>
        </is>
      </c>
      <c r="B10" s="11" t="n">
        <v>4606858827.684394</v>
      </c>
      <c r="C10" s="11" t="n">
        <v>5854800121.911386</v>
      </c>
      <c r="D10" s="11" t="n">
        <v>7195066304.617113</v>
      </c>
      <c r="E10" s="11" t="n">
        <v>8640307940.751244</v>
      </c>
      <c r="F10" s="11" t="n">
        <v>10164115275.91958</v>
      </c>
    </row>
    <row r="11">
      <c r="A11" s="2" t="inlineStr">
        <is>
          <t>Accounts payable</t>
        </is>
      </c>
      <c r="B11" s="11" t="n">
        <v>312539316.4109589</v>
      </c>
      <c r="C11" s="11" t="n">
        <v>337542461.7238357</v>
      </c>
      <c r="D11" s="11" t="n">
        <v>365419497.9744396</v>
      </c>
      <c r="E11" s="11" t="n">
        <v>387344667.8529059</v>
      </c>
      <c r="F11" s="11" t="n">
        <v>411441109.3995693</v>
      </c>
    </row>
    <row r="12">
      <c r="A12" s="7" t="inlineStr">
        <is>
          <t>Total current liabilities</t>
        </is>
      </c>
      <c r="B12" s="11" t="n">
        <v>567643316.410959</v>
      </c>
      <c r="C12" s="11" t="n">
        <v>592646461.7238357</v>
      </c>
      <c r="D12" s="11" t="n">
        <v>620523497.9744396</v>
      </c>
      <c r="E12" s="11" t="n">
        <v>642448667.8529059</v>
      </c>
      <c r="F12" s="11" t="n">
        <v>666545109.3995693</v>
      </c>
    </row>
    <row r="13">
      <c r="A13" s="7" t="inlineStr">
        <is>
          <t>Total liabilities</t>
        </is>
      </c>
      <c r="B13" s="11" t="n">
        <v>993975316.410959</v>
      </c>
      <c r="C13" s="11" t="n">
        <v>1018978461.723836</v>
      </c>
      <c r="D13" s="11" t="n">
        <v>1046855497.97444</v>
      </c>
      <c r="E13" s="11" t="n">
        <v>1068780667.852906</v>
      </c>
      <c r="F13" s="11" t="n">
        <v>1092877109.399569</v>
      </c>
    </row>
    <row r="14">
      <c r="A14" s="2" t="inlineStr">
        <is>
          <t>Retained earnings</t>
        </is>
      </c>
      <c r="B14" s="11" t="n">
        <v>3361007511.273435</v>
      </c>
      <c r="C14" s="11" t="n">
        <v>4583945660.18755</v>
      </c>
      <c r="D14" s="11" t="n">
        <v>5896334806.642673</v>
      </c>
      <c r="E14" s="11" t="n">
        <v>7319651272.898337</v>
      </c>
      <c r="F14" s="11" t="n">
        <v>8819362166.520016</v>
      </c>
    </row>
    <row r="15">
      <c r="A15" s="7" t="inlineStr">
        <is>
          <t>Total stockholders' equity</t>
        </is>
      </c>
      <c r="B15" s="11" t="n">
        <v>3612883511.273435</v>
      </c>
      <c r="C15" s="11" t="n">
        <v>4835821660.18755</v>
      </c>
      <c r="D15" s="11" t="n">
        <v>6148210806.642673</v>
      </c>
      <c r="E15" s="11" t="n">
        <v>7571527272.898337</v>
      </c>
      <c r="F15" s="11" t="n">
        <v>9071238166.520016</v>
      </c>
    </row>
    <row r="17">
      <c r="A17" s="2" t="inlineStr">
        <is>
          <t>Engine-computed &amp; invariant-checked: BS balances every period; CFS ending cash ties to BS cash; RE and PP&amp;E rolls hold.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Model Cash Flow Statement</t>
        </is>
      </c>
    </row>
    <row r="3">
      <c r="A3" s="7" t="inlineStr">
        <is>
          <t>Line ($)</t>
        </is>
      </c>
      <c r="B3" s="7" t="inlineStr">
        <is>
          <t>FY2027E</t>
        </is>
      </c>
      <c r="C3" s="7" t="inlineStr">
        <is>
          <t>FY2028E</t>
        </is>
      </c>
      <c r="D3" s="7" t="inlineStr">
        <is>
          <t>FY2029E</t>
        </is>
      </c>
      <c r="E3" s="7" t="inlineStr">
        <is>
          <t>FY2030E</t>
        </is>
      </c>
      <c r="F3" s="7" t="inlineStr">
        <is>
          <t>FY2031E</t>
        </is>
      </c>
    </row>
    <row r="4">
      <c r="A4" s="2" t="inlineStr">
        <is>
          <t>Net income</t>
        </is>
      </c>
      <c r="B4" s="11" t="n">
        <v>1114645511.273434</v>
      </c>
      <c r="C4" s="11" t="n">
        <v>1222938148.914115</v>
      </c>
      <c r="D4" s="11" t="n">
        <v>1312389146.455123</v>
      </c>
      <c r="E4" s="11" t="n">
        <v>1423316466.255664</v>
      </c>
      <c r="F4" s="11" t="n">
        <v>1499710893.621679</v>
      </c>
    </row>
    <row r="5">
      <c r="A5" s="2" t="inlineStr">
        <is>
          <t>Depreciation &amp; amortization</t>
        </is>
      </c>
      <c r="B5" s="11" t="n">
        <v>107366447.52</v>
      </c>
      <c r="C5" s="11" t="n">
        <v>115955763.3216</v>
      </c>
      <c r="D5" s="11" t="n">
        <v>124072666.754112</v>
      </c>
      <c r="E5" s="11" t="n">
        <v>131517026.7593587</v>
      </c>
      <c r="F5" s="11" t="n">
        <v>138092878.0973267</v>
      </c>
    </row>
    <row r="6">
      <c r="A6" s="2" t="inlineStr">
        <is>
          <t>Change in working capital</t>
        </is>
      </c>
      <c r="B6" s="11" t="n">
        <v>-683655680.9041095</v>
      </c>
      <c r="C6" s="11" t="n">
        <v>-88409814.47232884</v>
      </c>
      <c r="D6" s="11" t="n">
        <v>-89684811.46403533</v>
      </c>
      <c r="E6" s="11" t="n">
        <v>-76993038.41042846</v>
      </c>
      <c r="F6" s="11" t="n">
        <v>-74841595.70723784</v>
      </c>
    </row>
    <row r="7">
      <c r="A7" s="7" t="inlineStr">
        <is>
          <t>Cash from operations</t>
        </is>
      </c>
      <c r="B7" s="11" t="n">
        <v>538356277.8893249</v>
      </c>
      <c r="C7" s="11" t="n">
        <v>1250484097.763386</v>
      </c>
      <c r="D7" s="11" t="n">
        <v>1346777001.7452</v>
      </c>
      <c r="E7" s="11" t="n">
        <v>1477840454.604594</v>
      </c>
      <c r="F7" s="11" t="n">
        <v>1562962176.011768</v>
      </c>
    </row>
    <row r="8">
      <c r="A8" s="2" t="inlineStr">
        <is>
          <t>Capital expenditures</t>
        </is>
      </c>
      <c r="B8" s="11" t="n">
        <v>-95436842.23999999</v>
      </c>
      <c r="C8" s="11" t="n">
        <v>-103071789.6192</v>
      </c>
      <c r="D8" s="11" t="n">
        <v>-110286814.892544</v>
      </c>
      <c r="E8" s="11" t="n">
        <v>-116904023.7860967</v>
      </c>
      <c r="F8" s="11" t="n">
        <v>-122749224.9754015</v>
      </c>
    </row>
    <row r="9">
      <c r="A9" s="7" t="inlineStr">
        <is>
          <t>Cash from investing</t>
        </is>
      </c>
      <c r="B9" s="11" t="n">
        <v>-95436842.23999999</v>
      </c>
      <c r="C9" s="11" t="n">
        <v>-103071789.6192</v>
      </c>
      <c r="D9" s="11" t="n">
        <v>-110286814.892544</v>
      </c>
      <c r="E9" s="11" t="n">
        <v>-116904023.7860967</v>
      </c>
      <c r="F9" s="11" t="n">
        <v>-122749224.9754015</v>
      </c>
    </row>
    <row r="10">
      <c r="A10" s="7" t="inlineStr">
        <is>
          <t>Net change in cash</t>
        </is>
      </c>
      <c r="B10" s="11" t="n">
        <v>442919435.6493249</v>
      </c>
      <c r="C10" s="11" t="n">
        <v>1147412308.144186</v>
      </c>
      <c r="D10" s="11" t="n">
        <v>1236490186.852656</v>
      </c>
      <c r="E10" s="11" t="n">
        <v>1360936430.818497</v>
      </c>
      <c r="F10" s="11" t="n">
        <v>1440212951.036366</v>
      </c>
    </row>
    <row r="12">
      <c r="A12" s="2" t="inlineStr">
        <is>
          <t>Engine-computed &amp; invariant-checked: BS balances every period; CFS ending cash ties to BS cash; RE and PP&amp;E rolls hold.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WACC (CAPM)</t>
        </is>
      </c>
    </row>
    <row r="3">
      <c r="A3" s="2" t="inlineStr">
        <is>
          <t>Cost of equity (Ke)</t>
        </is>
      </c>
      <c r="B3" s="4">
        <f>'Assumptions'!B18+'Assumptions'!B19*'Assumptions'!B20</f>
        <v/>
      </c>
    </row>
    <row r="4">
      <c r="A4" s="2" t="inlineStr">
        <is>
          <t>After-tax cost of debt</t>
        </is>
      </c>
      <c r="B4" s="4">
        <f>'Assumptions'!B21*(1-'Assumptions'!B22)</f>
        <v/>
      </c>
    </row>
    <row r="5">
      <c r="A5" s="2" t="inlineStr">
        <is>
          <t>Equity weight</t>
        </is>
      </c>
      <c r="B5" s="4">
        <f>'Assumptions'!B23/('Assumptions'!B23+'Assumptions'!B24)</f>
        <v/>
      </c>
    </row>
    <row r="6">
      <c r="A6" s="2" t="inlineStr">
        <is>
          <t>Debt weight</t>
        </is>
      </c>
      <c r="B6" s="4">
        <f>'Assumptions'!B24/('Assumptions'!B23+'Assumptions'!B24)</f>
        <v/>
      </c>
    </row>
    <row r="7">
      <c r="A7" s="7" t="inlineStr">
        <is>
          <t>WACC</t>
        </is>
      </c>
      <c r="B7" s="4">
        <f>B5*B3+B6*B4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Discounted Cash Flow (FCFF)</t>
        </is>
      </c>
    </row>
    <row r="3">
      <c r="A3" s="7" t="inlineStr">
        <is>
          <t>Projection year</t>
        </is>
      </c>
      <c r="B3" s="7" t="inlineStr">
        <is>
          <t>Y1</t>
        </is>
      </c>
      <c r="C3" s="7" t="inlineStr">
        <is>
          <t>Y2</t>
        </is>
      </c>
      <c r="D3" s="7" t="inlineStr">
        <is>
          <t>Y3</t>
        </is>
      </c>
      <c r="E3" s="7" t="inlineStr">
        <is>
          <t>Y4</t>
        </is>
      </c>
      <c r="F3" s="7" t="inlineStr">
        <is>
          <t>Y5</t>
        </is>
      </c>
    </row>
    <row r="4">
      <c r="A4" s="2" t="inlineStr">
        <is>
          <t>FCFF</t>
        </is>
      </c>
      <c r="B4" s="11">
        <f>'Model IS'!C8*(1-'Assumptions'!B10)+'Model IS'!C9-'Model IS'!C4*'Assumptions'!B8+B7</f>
        <v/>
      </c>
      <c r="C4" s="11">
        <f>'Model IS'!D8*(1-'Assumptions'!C10)+'Model IS'!D9-'Model IS'!D4*'Assumptions'!C8+C7</f>
        <v/>
      </c>
      <c r="D4" s="11">
        <f>'Model IS'!E8*(1-'Assumptions'!D10)+'Model IS'!E9-'Model IS'!E4*'Assumptions'!D8+D7</f>
        <v/>
      </c>
      <c r="E4" s="11">
        <f>'Model IS'!F8*(1-'Assumptions'!E10)+'Model IS'!F9-'Model IS'!F4*'Assumptions'!E8+E7</f>
        <v/>
      </c>
      <c r="F4" s="11">
        <f>'Model IS'!G8*(1-'Assumptions'!F10)+'Model IS'!G9-'Model IS'!G4*'Assumptions'!F8+F7</f>
        <v/>
      </c>
    </row>
    <row r="5">
      <c r="A5" s="2" t="inlineStr">
        <is>
          <t>Discount factor</t>
        </is>
      </c>
      <c r="B5" s="6">
        <f>1/(1+'WACC'!B7)^(1-0.5)</f>
        <v/>
      </c>
      <c r="C5" s="6">
        <f>1/(1+'WACC'!B7)^(2-0.5)</f>
        <v/>
      </c>
      <c r="D5" s="6">
        <f>1/(1+'WACC'!B7)^(3-0.5)</f>
        <v/>
      </c>
      <c r="E5" s="6">
        <f>1/(1+'WACC'!B7)^(4-0.5)</f>
        <v/>
      </c>
      <c r="F5" s="6">
        <f>1/(1+'WACC'!B7)^(5-0.5)</f>
        <v/>
      </c>
    </row>
    <row r="6">
      <c r="A6" s="2" t="inlineStr">
        <is>
          <t>PV of FCFF</t>
        </is>
      </c>
      <c r="B6" s="11">
        <f>B4*B5</f>
        <v/>
      </c>
      <c r="C6" s="11">
        <f>C4*C5</f>
        <v/>
      </c>
      <c r="D6" s="11">
        <f>D4*D5</f>
        <v/>
      </c>
      <c r="E6" s="11">
        <f>E4*E5</f>
        <v/>
      </c>
      <c r="F6" s="11">
        <f>F4*F5</f>
        <v/>
      </c>
    </row>
    <row r="7">
      <c r="A7" s="2" t="inlineStr">
        <is>
          <t>Change in working capital</t>
        </is>
      </c>
      <c r="B7" s="11">
        <f>'Assumptions'!B11</f>
        <v/>
      </c>
      <c r="C7" s="11">
        <f>'Assumptions'!C11</f>
        <v/>
      </c>
      <c r="D7" s="11">
        <f>'Assumptions'!D11</f>
        <v/>
      </c>
      <c r="E7" s="11">
        <f>'Assumptions'!E11</f>
        <v/>
      </c>
      <c r="F7" s="11">
        <f>'Assumptions'!F11</f>
        <v/>
      </c>
    </row>
    <row r="8">
      <c r="A8" s="7" t="inlineStr">
        <is>
          <t>PV explicit FCFF</t>
        </is>
      </c>
      <c r="B8" s="11">
        <f>SUM(B6:F6)</f>
        <v/>
      </c>
    </row>
    <row r="9">
      <c r="A9" s="2" t="inlineStr">
        <is>
          <t>Terminal value (Gordon)</t>
        </is>
      </c>
      <c r="B9" s="11">
        <f>B24*(1+'Assumptions'!B14)/('WACC'!B7-'Assumptions'!B14)</f>
        <v/>
      </c>
    </row>
    <row r="10">
      <c r="A10" s="2" t="inlineStr">
        <is>
          <t>Terminal value (exit)</t>
        </is>
      </c>
      <c r="B10" s="11">
        <f>'Model IS'!G10*'Assumptions'!B15</f>
        <v/>
      </c>
    </row>
    <row r="11">
      <c r="A11" s="2" t="inlineStr">
        <is>
          <t>PV terminal (Gordon)</t>
        </is>
      </c>
      <c r="B11" s="11">
        <f>B9*F5</f>
        <v/>
      </c>
    </row>
    <row r="12">
      <c r="A12" s="2" t="inlineStr">
        <is>
          <t>PV terminal (exit)</t>
        </is>
      </c>
      <c r="B12" s="11">
        <f>B10*B25</f>
        <v/>
      </c>
    </row>
    <row r="14">
      <c r="A14" s="7" t="inlineStr">
        <is>
          <t>EV (Gordon)</t>
        </is>
      </c>
      <c r="B14" s="11">
        <f>B8+B11</f>
        <v/>
      </c>
    </row>
    <row r="15">
      <c r="A15" s="7" t="inlineStr">
        <is>
          <t>EV (exit)</t>
        </is>
      </c>
      <c r="B15" s="11">
        <f>B8+B12</f>
        <v/>
      </c>
    </row>
    <row r="17">
      <c r="A17" s="2" t="inlineStr">
        <is>
          <t>Net debt</t>
        </is>
      </c>
      <c r="B17" s="11" t="n">
        <v>-1907249000</v>
      </c>
    </row>
    <row r="18">
      <c r="A18" s="2" t="inlineStr">
        <is>
          <t>Shares diluted</t>
        </is>
      </c>
      <c r="B18" s="13" t="n">
        <v>136200000</v>
      </c>
    </row>
    <row r="19">
      <c r="A19" s="7" t="inlineStr">
        <is>
          <t>Equity value (Gordon)</t>
        </is>
      </c>
      <c r="B19" s="11">
        <f>B14-B17</f>
        <v/>
      </c>
    </row>
    <row r="20">
      <c r="A20" s="7" t="inlineStr">
        <is>
          <t>Equity value (exit)</t>
        </is>
      </c>
      <c r="B20" s="11">
        <f>B15-B17</f>
        <v/>
      </c>
    </row>
    <row r="21">
      <c r="A21" s="7" t="inlineStr">
        <is>
          <t>Implied price (Gordon)</t>
        </is>
      </c>
      <c r="B21" s="6">
        <f>B19/B18</f>
        <v/>
      </c>
    </row>
    <row r="22">
      <c r="A22" s="7" t="inlineStr">
        <is>
          <t>Implied price (exit)</t>
        </is>
      </c>
      <c r="B22" s="6">
        <f>B20/B18</f>
        <v/>
      </c>
    </row>
    <row r="24">
      <c r="A24" s="2" t="inlineStr">
        <is>
          <t>Terminal FCFF (normalized)</t>
        </is>
      </c>
      <c r="B24" s="11" t="n">
        <v>982522575.1000427</v>
      </c>
    </row>
    <row r="25">
      <c r="A25" s="2" t="inlineStr">
        <is>
          <t>Exit discount factor (full-year)</t>
        </is>
      </c>
      <c r="B25" s="6">
        <f>1/(1+'WACC'!B7)^5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Trading Comps</t>
        </is>
      </c>
    </row>
    <row r="3">
      <c r="A3" s="5" t="inlineStr">
        <is>
          <t>Ticker</t>
        </is>
      </c>
      <c r="B3" s="5" t="inlineStr">
        <is>
          <t>EV</t>
        </is>
      </c>
      <c r="C3" s="5" t="inlineStr">
        <is>
          <t>EV/Revenue</t>
        </is>
      </c>
      <c r="D3" s="5" t="inlineStr">
        <is>
          <t>EV/EBITDA</t>
        </is>
      </c>
      <c r="E3" s="5" t="inlineStr">
        <is>
          <t>P/E</t>
        </is>
      </c>
    </row>
    <row r="4">
      <c r="A4" s="2" t="inlineStr">
        <is>
          <t>NKE</t>
        </is>
      </c>
      <c r="B4" s="11" t="n">
        <v>106939000000</v>
      </c>
      <c r="C4" s="14" t="n">
        <v>2.304819173240226</v>
      </c>
      <c r="E4" s="14" t="n">
        <v>34.28571428571428</v>
      </c>
    </row>
    <row r="5">
      <c r="A5" s="2" t="inlineStr">
        <is>
          <t>CROX</t>
        </is>
      </c>
      <c r="B5" s="11" t="n">
        <v>5415000000</v>
      </c>
      <c r="C5" s="14" t="n">
        <v>1.34013191451765</v>
      </c>
      <c r="D5" s="14" t="n">
        <v>23.66726836453275</v>
      </c>
    </row>
    <row r="6">
      <c r="A6" s="2" t="inlineStr">
        <is>
          <t>WWW</t>
        </is>
      </c>
      <c r="B6" s="11" t="n">
        <v>1440000000</v>
      </c>
      <c r="C6" s="14" t="n">
        <v>0.7682868270821106</v>
      </c>
      <c r="D6" s="14" t="n">
        <v>8.17717206132879</v>
      </c>
      <c r="E6" s="14" t="n">
        <v>15.03131524008351</v>
      </c>
    </row>
    <row r="7">
      <c r="A7" s="2" t="inlineStr">
        <is>
          <t>SHOO</t>
        </is>
      </c>
      <c r="B7" s="11" t="n">
        <v>2130000000</v>
      </c>
      <c r="C7" s="14" t="n">
        <v>0.8447292464301266</v>
      </c>
      <c r="D7" s="14" t="n">
        <v>18.65018212384421</v>
      </c>
      <c r="E7" s="14" t="n">
        <v>43.45342527234893</v>
      </c>
    </row>
    <row r="8">
      <c r="A8" s="2" t="inlineStr">
        <is>
          <t>COLM</t>
        </is>
      </c>
      <c r="B8" s="11" t="n">
        <v>3472000000</v>
      </c>
      <c r="C8" s="14" t="n">
        <v>1.021972707559507</v>
      </c>
      <c r="D8" s="14" t="n">
        <v>13.15779500822362</v>
      </c>
      <c r="E8" s="14" t="n">
        <v>19.59102604613371</v>
      </c>
    </row>
    <row r="9">
      <c r="A9" s="2" t="inlineStr">
        <is>
          <t>VFC</t>
        </is>
      </c>
      <c r="B9" s="11" t="n">
        <v>5460000000</v>
      </c>
      <c r="C9" s="14" t="n">
        <v>0.5684416796014912</v>
      </c>
      <c r="D9" s="14" t="n">
        <v>6.370333380780261</v>
      </c>
      <c r="E9" s="14" t="n">
        <v>21.41848423034677</v>
      </c>
    </row>
    <row r="10">
      <c r="A10" s="2" t="inlineStr">
        <is>
          <t>BOOT</t>
        </is>
      </c>
      <c r="B10" s="11" t="n">
        <v>4950000000</v>
      </c>
      <c r="C10" s="14" t="n">
        <v>2.196233216008632</v>
      </c>
      <c r="D10" s="14" t="n">
        <v>13.10220514082885</v>
      </c>
      <c r="E10" s="14" t="n">
        <v>21.91429077386223</v>
      </c>
    </row>
    <row r="11">
      <c r="A11" s="2" t="inlineStr">
        <is>
          <t>CAL</t>
        </is>
      </c>
      <c r="B11" s="11" t="n">
        <v>680000000</v>
      </c>
      <c r="C11" s="14" t="n">
        <v>0.2465686169639934</v>
      </c>
      <c r="D11" s="14" t="n">
        <v>12.43985877101513</v>
      </c>
    </row>
    <row r="13">
      <c r="A13" s="7" t="inlineStr">
        <is>
          <t>Median EV/EBITDA</t>
        </is>
      </c>
      <c r="D13" s="14">
        <f>MEDIAN(D4:D11)</f>
        <v/>
      </c>
    </row>
    <row r="14">
      <c r="A14" s="7" t="inlineStr">
        <is>
          <t>Implied price (EV/EBITDA)</t>
        </is>
      </c>
      <c r="B14" s="6" t="n">
        <v>128.7783228274905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Precedent Transactions</t>
        </is>
      </c>
    </row>
    <row r="3">
      <c r="A3" s="5" t="inlineStr">
        <is>
          <t>Date</t>
        </is>
      </c>
      <c r="B3" s="5" t="inlineStr">
        <is>
          <t>Acquirer</t>
        </is>
      </c>
      <c r="C3" s="5" t="inlineStr">
        <is>
          <t>Target</t>
        </is>
      </c>
      <c r="D3" s="5" t="inlineStr">
        <is>
          <t>EV</t>
        </is>
      </c>
      <c r="E3" s="5" t="inlineStr">
        <is>
          <t>EV/Rev</t>
        </is>
      </c>
      <c r="F3" s="5" t="inlineStr">
        <is>
          <t>EV/EBITDA</t>
        </is>
      </c>
      <c r="G3" s="5" t="inlineStr">
        <is>
          <t>Source</t>
        </is>
      </c>
    </row>
    <row r="4">
      <c r="A4" s="2" t="inlineStr">
        <is>
          <t>2025-05-05</t>
        </is>
      </c>
      <c r="B4" s="2" t="inlineStr">
        <is>
          <t>3G Capital</t>
        </is>
      </c>
      <c r="C4" s="2" t="inlineStr">
        <is>
          <t>Skechers U.S.A. Inc.</t>
        </is>
      </c>
      <c r="D4" s="11" t="n">
        <v>9400000000</v>
      </c>
      <c r="G4" s="2" t="inlineStr">
        <is>
          <t>Skechers press release, 2025-05-05: 3G Capital to acquire Skechers for $63.00/share, ~$9.4B enterprise value</t>
        </is>
      </c>
    </row>
    <row r="5">
      <c r="A5" s="2" t="inlineStr">
        <is>
          <t>2021-08-12</t>
        </is>
      </c>
      <c r="B5" s="2" t="inlineStr">
        <is>
          <t>Authentic Brands Group</t>
        </is>
      </c>
      <c r="C5" s="2" t="inlineStr">
        <is>
          <t>Reebok (from adidas AG)</t>
        </is>
      </c>
      <c r="D5" s="11" t="n">
        <v>2500000000</v>
      </c>
      <c r="G5" s="2" t="inlineStr">
        <is>
          <t>adidas AG press release, 2021-08-12: divestiture of Reebok to ABG for up to EUR 2.1B (~$2.5B)</t>
        </is>
      </c>
    </row>
    <row r="6">
      <c r="A6" s="2" t="inlineStr">
        <is>
          <t>2020-11-09</t>
        </is>
      </c>
      <c r="B6" s="2" t="inlineStr">
        <is>
          <t>VF Corporation</t>
        </is>
      </c>
      <c r="C6" s="2" t="inlineStr">
        <is>
          <t>Supreme</t>
        </is>
      </c>
      <c r="D6" s="11" t="n">
        <v>2100000000</v>
      </c>
      <c r="G6" s="2" t="inlineStr">
        <is>
          <t>VF Corporation press release, 2020-11-09: acquisition of Supreme for $2.1B</t>
        </is>
      </c>
    </row>
    <row r="7">
      <c r="A7" s="2" t="inlineStr">
        <is>
          <t>2012-05-01</t>
        </is>
      </c>
      <c r="B7" s="2" t="inlineStr">
        <is>
          <t>Wolverine World Wide (with Blum Capital &amp; Golden Gate Capital)</t>
        </is>
      </c>
      <c r="C7" s="2" t="inlineStr">
        <is>
          <t>Collective Brands Performance + Lifestyle Group (Sperry / Saucony / Keds / Stride Rite)</t>
        </is>
      </c>
      <c r="D7" s="11" t="n">
        <v>1230000000</v>
      </c>
      <c r="G7" s="2" t="inlineStr">
        <is>
          <t>Wolverine World Wide press release, 2012-05-01: acquisition of Collective Brands' PLG for ~$1.23B</t>
        </is>
      </c>
    </row>
    <row r="8">
      <c r="A8" s="2" t="inlineStr">
        <is>
          <t>2011-06-13</t>
        </is>
      </c>
      <c r="B8" s="2" t="inlineStr">
        <is>
          <t>VF Corporation</t>
        </is>
      </c>
      <c r="C8" s="2" t="inlineStr">
        <is>
          <t>The Timberland Company</t>
        </is>
      </c>
      <c r="D8" s="11" t="n">
        <v>2300000000</v>
      </c>
      <c r="G8" s="2" t="inlineStr">
        <is>
          <t>VF Corporation press release, 2011-06-13: acquisition of Timberland for $43.00/share, ~$2.3B</t>
        </is>
      </c>
    </row>
    <row r="9">
      <c r="A9" s="2" t="inlineStr">
        <is>
          <t>2024-12-17</t>
        </is>
      </c>
      <c r="B9" s="2" t="inlineStr">
        <is>
          <t>Steven Madden Ltd.</t>
        </is>
      </c>
      <c r="C9" s="2" t="inlineStr">
        <is>
          <t>Kurt Geiger (from Cinven)</t>
        </is>
      </c>
      <c r="D9" s="11" t="n">
        <v>360000000</v>
      </c>
      <c r="G9" s="2" t="inlineStr">
        <is>
          <t>Steve Madden press release, 2024-12-17: agreement to acquire Kurt Geiger for ~GBP 289M (~$360M)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LBO</t>
        </is>
      </c>
    </row>
    <row r="3">
      <c r="A3" s="2" t="inlineStr">
        <is>
          <t>Sources &amp; Uses</t>
        </is>
      </c>
    </row>
    <row r="4">
      <c r="A4" s="2" t="inlineStr">
        <is>
          <t>Source: new_debt</t>
        </is>
      </c>
      <c r="B4" s="11" t="n">
        <v>8130027000</v>
      </c>
    </row>
    <row r="5">
      <c r="A5" s="2" t="inlineStr">
        <is>
          <t>Source: sponsor_equity</t>
        </is>
      </c>
      <c r="B5" s="11" t="n">
        <v>8130027000</v>
      </c>
    </row>
    <row r="6">
      <c r="A6" s="2" t="inlineStr">
        <is>
          <t>Use: purchase_enterprise_value</t>
        </is>
      </c>
      <c r="B6" s="11" t="n">
        <v>16260054000</v>
      </c>
    </row>
    <row r="7">
      <c r="A7" s="2" t="inlineStr">
        <is>
          <t>Use: transaction_fees</t>
        </is>
      </c>
      <c r="B7" s="11" t="n">
        <v>0</v>
      </c>
    </row>
    <row r="9">
      <c r="A9" s="5" t="inlineStr">
        <is>
          <t>Debt schedule (levered cash sweep)</t>
        </is>
      </c>
    </row>
    <row r="10">
      <c r="A10" s="5" t="inlineStr">
        <is>
          <t>Year</t>
        </is>
      </c>
      <c r="B10" s="5" t="inlineStr">
        <is>
          <t>Begin debt</t>
        </is>
      </c>
      <c r="C10" s="5" t="inlineStr">
        <is>
          <t>Cash interest</t>
        </is>
      </c>
      <c r="D10" s="5" t="inlineStr">
        <is>
          <t>Levered FCF</t>
        </is>
      </c>
      <c r="E10" s="5" t="inlineStr">
        <is>
          <t>Sweep</t>
        </is>
      </c>
      <c r="F10" s="5" t="inlineStr">
        <is>
          <t>End debt</t>
        </is>
      </c>
      <c r="G10" s="5" t="inlineStr">
        <is>
          <t>Cash balance</t>
        </is>
      </c>
    </row>
    <row r="11">
      <c r="A11" s="2" t="inlineStr">
        <is>
          <t>Y1</t>
        </is>
      </c>
      <c r="B11" s="11" t="n">
        <v>8130027000</v>
      </c>
      <c r="C11" s="11" t="n">
        <v>569101890</v>
      </c>
      <c r="D11" s="11" t="n">
        <v>492334739.7879996</v>
      </c>
      <c r="E11" s="11" t="n">
        <v>369251054.8409997</v>
      </c>
      <c r="F11" s="11" t="n">
        <v>7760775945.159</v>
      </c>
      <c r="G11" s="11" t="n">
        <v>123083684.9469999</v>
      </c>
    </row>
    <row r="12">
      <c r="A12" s="2" t="inlineStr">
        <is>
          <t>Y2</t>
        </is>
      </c>
      <c r="B12" s="11" t="n">
        <v>7760775945.159</v>
      </c>
      <c r="C12" s="11" t="n">
        <v>543254316.1611301</v>
      </c>
      <c r="D12" s="11" t="n">
        <v>603097244.00991</v>
      </c>
      <c r="E12" s="11" t="n">
        <v>452322933.0074325</v>
      </c>
      <c r="F12" s="11" t="n">
        <v>7308453012.151567</v>
      </c>
      <c r="G12" s="11" t="n">
        <v>273857995.9494774</v>
      </c>
    </row>
    <row r="13">
      <c r="A13" s="2" t="inlineStr">
        <is>
          <t>Y3</t>
        </is>
      </c>
      <c r="B13" s="11" t="n">
        <v>7308453012.151567</v>
      </c>
      <c r="C13" s="11" t="n">
        <v>511591710.8506098</v>
      </c>
      <c r="D13" s="11" t="n">
        <v>688639016.8471544</v>
      </c>
      <c r="E13" s="11" t="n">
        <v>516479262.6353658</v>
      </c>
      <c r="F13" s="11" t="n">
        <v>6791973749.516202</v>
      </c>
      <c r="G13" s="11" t="n">
        <v>446017750.161266</v>
      </c>
    </row>
    <row r="14">
      <c r="A14" s="2" t="inlineStr">
        <is>
          <t>Y4</t>
        </is>
      </c>
      <c r="B14" s="11" t="n">
        <v>6791973749.516202</v>
      </c>
      <c r="C14" s="11" t="n">
        <v>475438162.4661342</v>
      </c>
      <c r="D14" s="11" t="n">
        <v>796806408.8934959</v>
      </c>
      <c r="E14" s="11" t="n">
        <v>597604806.6701219</v>
      </c>
      <c r="F14" s="11" t="n">
        <v>6194368942.84608</v>
      </c>
      <c r="G14" s="11" t="n">
        <v>645219352.38464</v>
      </c>
    </row>
    <row r="15">
      <c r="A15" s="2" t="inlineStr">
        <is>
          <t>Y5</t>
        </is>
      </c>
      <c r="B15" s="11" t="n">
        <v>6194368942.84608</v>
      </c>
      <c r="C15" s="11" t="n">
        <v>433605825.9992256</v>
      </c>
      <c r="D15" s="11" t="n">
        <v>872906237.3327036</v>
      </c>
      <c r="E15" s="11" t="n">
        <v>654679677.9995277</v>
      </c>
      <c r="F15" s="11" t="n">
        <v>5539689264.846552</v>
      </c>
      <c r="G15" s="11" t="n">
        <v>863445911.7178159</v>
      </c>
    </row>
    <row r="17">
      <c r="A17" s="7" t="inlineStr">
        <is>
          <t>Exit equity value</t>
        </is>
      </c>
      <c r="B17" s="11" t="n">
        <v>15408598583.47133</v>
      </c>
    </row>
    <row r="18">
      <c r="A18" s="7" t="inlineStr">
        <is>
          <t>IRR</t>
        </is>
      </c>
      <c r="B18" s="4" t="n">
        <v>0.1364078647333372</v>
      </c>
    </row>
    <row r="19">
      <c r="A19" s="7" t="inlineStr">
        <is>
          <t>MOIC</t>
        </is>
      </c>
      <c r="B19" s="14" t="n">
        <v>1.895270284277202</v>
      </c>
    </row>
    <row r="20">
      <c r="A20" s="2" t="inlineStr">
        <is>
          <t>Illustrative only — DECK is net-cash today; this shows what leverage could do.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Sensitivities: implied price = f(WACC, g)</t>
        </is>
      </c>
    </row>
    <row r="3">
      <c r="A3" s="7" t="inlineStr">
        <is>
          <t>g \ WACC</t>
        </is>
      </c>
      <c r="B3" s="4">
        <f>'WACC'!B7+-0.01</f>
        <v/>
      </c>
      <c r="C3" s="4">
        <f>'WACC'!B7+-0.005</f>
        <v/>
      </c>
      <c r="D3" s="4">
        <f>'WACC'!B7+0.0</f>
        <v/>
      </c>
      <c r="E3" s="4">
        <f>'WACC'!B7+0.005</f>
        <v/>
      </c>
      <c r="F3" s="4">
        <f>'WACC'!B7+0.01</f>
        <v/>
      </c>
    </row>
    <row r="4">
      <c r="A4" s="4">
        <f>'Assumptions'!B14+-0.01</f>
        <v/>
      </c>
      <c r="B4" s="6">
        <f>(('DCF'!B8+'DCF'!B24*(1+A4)/(B3-A4)/(1+B3)^(5-0.5))-'DCF'!B17)/'DCF'!B18</f>
        <v/>
      </c>
      <c r="C4" s="6">
        <f>(('DCF'!B8+'DCF'!B24*(1+A4)/(C3-A4)/(1+C3)^(5-0.5))-'DCF'!B17)/'DCF'!B18</f>
        <v/>
      </c>
      <c r="D4" s="6">
        <f>(('DCF'!B8+'DCF'!B24*(1+A4)/(D3-A4)/(1+D3)^(5-0.5))-'DCF'!B17)/'DCF'!B18</f>
        <v/>
      </c>
      <c r="E4" s="6">
        <f>(('DCF'!B8+'DCF'!B24*(1+A4)/(E3-A4)/(1+E3)^(5-0.5))-'DCF'!B17)/'DCF'!B18</f>
        <v/>
      </c>
      <c r="F4" s="6">
        <f>(('DCF'!B8+'DCF'!B24*(1+A4)/(F3-A4)/(1+F3)^(5-0.5))-'DCF'!B17)/'DCF'!B18</f>
        <v/>
      </c>
    </row>
    <row r="5">
      <c r="A5" s="4">
        <f>'Assumptions'!B14+-0.005</f>
        <v/>
      </c>
      <c r="B5" s="6">
        <f>(('DCF'!B8+'DCF'!B24*(1+A5)/(B3-A5)/(1+B3)^(5-0.5))-'DCF'!B17)/'DCF'!B18</f>
        <v/>
      </c>
      <c r="C5" s="6">
        <f>(('DCF'!B8+'DCF'!B24*(1+A5)/(C3-A5)/(1+C3)^(5-0.5))-'DCF'!B17)/'DCF'!B18</f>
        <v/>
      </c>
      <c r="D5" s="6">
        <f>(('DCF'!B8+'DCF'!B24*(1+A5)/(D3-A5)/(1+D3)^(5-0.5))-'DCF'!B17)/'DCF'!B18</f>
        <v/>
      </c>
      <c r="E5" s="6">
        <f>(('DCF'!B8+'DCF'!B24*(1+A5)/(E3-A5)/(1+E3)^(5-0.5))-'DCF'!B17)/'DCF'!B18</f>
        <v/>
      </c>
      <c r="F5" s="6">
        <f>(('DCF'!B8+'DCF'!B24*(1+A5)/(F3-A5)/(1+F3)^(5-0.5))-'DCF'!B17)/'DCF'!B18</f>
        <v/>
      </c>
    </row>
    <row r="6">
      <c r="A6" s="4">
        <f>'Assumptions'!B14+0.0</f>
        <v/>
      </c>
      <c r="B6" s="6">
        <f>(('DCF'!B8+'DCF'!B24*(1+A6)/(B3-A6)/(1+B3)^(5-0.5))-'DCF'!B17)/'DCF'!B18</f>
        <v/>
      </c>
      <c r="C6" s="6">
        <f>(('DCF'!B8+'DCF'!B24*(1+A6)/(C3-A6)/(1+C3)^(5-0.5))-'DCF'!B17)/'DCF'!B18</f>
        <v/>
      </c>
      <c r="D6" s="6">
        <f>(('DCF'!B8+'DCF'!B24*(1+A6)/(D3-A6)/(1+D3)^(5-0.5))-'DCF'!B17)/'DCF'!B18</f>
        <v/>
      </c>
      <c r="E6" s="6">
        <f>(('DCF'!B8+'DCF'!B24*(1+A6)/(E3-A6)/(1+E3)^(5-0.5))-'DCF'!B17)/'DCF'!B18</f>
        <v/>
      </c>
      <c r="F6" s="6">
        <f>(('DCF'!B8+'DCF'!B24*(1+A6)/(F3-A6)/(1+F3)^(5-0.5))-'DCF'!B17)/'DCF'!B18</f>
        <v/>
      </c>
    </row>
    <row r="7">
      <c r="A7" s="4">
        <f>'Assumptions'!B14+0.005</f>
        <v/>
      </c>
      <c r="B7" s="6">
        <f>(('DCF'!B8+'DCF'!B24*(1+A7)/(B3-A7)/(1+B3)^(5-0.5))-'DCF'!B17)/'DCF'!B18</f>
        <v/>
      </c>
      <c r="C7" s="6">
        <f>(('DCF'!B8+'DCF'!B24*(1+A7)/(C3-A7)/(1+C3)^(5-0.5))-'DCF'!B17)/'DCF'!B18</f>
        <v/>
      </c>
      <c r="D7" s="6">
        <f>(('DCF'!B8+'DCF'!B24*(1+A7)/(D3-A7)/(1+D3)^(5-0.5))-'DCF'!B17)/'DCF'!B18</f>
        <v/>
      </c>
      <c r="E7" s="6">
        <f>(('DCF'!B8+'DCF'!B24*(1+A7)/(E3-A7)/(1+E3)^(5-0.5))-'DCF'!B17)/'DCF'!B18</f>
        <v/>
      </c>
      <c r="F7" s="6">
        <f>(('DCF'!B8+'DCF'!B24*(1+A7)/(F3-A7)/(1+F3)^(5-0.5))-'DCF'!B17)/'DCF'!B18</f>
        <v/>
      </c>
    </row>
    <row r="8">
      <c r="A8" s="4">
        <f>'Assumptions'!B14+0.01</f>
        <v/>
      </c>
      <c r="B8" s="6">
        <f>(('DCF'!B8+'DCF'!B24*(1+A8)/(B3-A8)/(1+B3)^(5-0.5))-'DCF'!B17)/'DCF'!B18</f>
        <v/>
      </c>
      <c r="C8" s="6">
        <f>(('DCF'!B8+'DCF'!B24*(1+A8)/(C3-A8)/(1+C3)^(5-0.5))-'DCF'!B17)/'DCF'!B18</f>
        <v/>
      </c>
      <c r="D8" s="6">
        <f>(('DCF'!B8+'DCF'!B24*(1+A8)/(D3-A8)/(1+D3)^(5-0.5))-'DCF'!B17)/'DCF'!B18</f>
        <v/>
      </c>
      <c r="E8" s="6">
        <f>(('DCF'!B8+'DCF'!B24*(1+A8)/(E3-A8)/(1+E3)^(5-0.5))-'DCF'!B17)/'DCF'!B18</f>
        <v/>
      </c>
      <c r="F8" s="6">
        <f>(('DCF'!B8+'DCF'!B24*(1+A8)/(F3-A8)/(1+F3)^(5-0.5))-'DCF'!B17)/'DCF'!B18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Football Field (valuation ranges)</t>
        </is>
      </c>
    </row>
    <row r="3">
      <c r="A3" s="5" t="inlineStr">
        <is>
          <t>Method</t>
        </is>
      </c>
      <c r="B3" s="5" t="inlineStr">
        <is>
          <t>Low</t>
        </is>
      </c>
      <c r="C3" s="5" t="inlineStr">
        <is>
          <t>High</t>
        </is>
      </c>
    </row>
    <row r="4">
      <c r="A4" s="2" t="inlineStr">
        <is>
          <t>DCF (Gordon–Exit)</t>
        </is>
      </c>
      <c r="B4" s="6">
        <f>'DCF'!B21</f>
        <v/>
      </c>
      <c r="C4" s="6">
        <f>'DCF'!B22</f>
        <v/>
      </c>
    </row>
    <row r="5">
      <c r="A5" s="2" t="inlineStr">
        <is>
          <t>Comps (EV/EBITDA)</t>
        </is>
      </c>
      <c r="B5" s="6">
        <f>'Trading Comps'!B14</f>
        <v/>
      </c>
      <c r="C5" s="6">
        <f>'Trading Comps'!B14</f>
        <v/>
      </c>
    </row>
    <row r="7">
      <c r="A7" s="2" t="inlineStr">
        <is>
          <t>Current price</t>
        </is>
      </c>
      <c r="B7" s="6">
        <f>'Cover'!B4</f>
        <v/>
      </c>
    </row>
    <row r="8">
      <c r="A8" s="2" t="inlineStr">
        <is>
          <t>Price target</t>
        </is>
      </c>
      <c r="B8" s="6">
        <f>'Cover'!B5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